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njar\Documents\Fag_6_Faststoff\hkl\"/>
    </mc:Choice>
  </mc:AlternateContent>
  <xr:revisionPtr revIDLastSave="0" documentId="13_ncr:1_{BDF307A3-277C-4B5E-971E-4B477803BEDC}" xr6:coauthVersionLast="45" xr6:coauthVersionMax="45" xr10:uidLastSave="{00000000-0000-0000-0000-000000000000}"/>
  <bookViews>
    <workbookView xWindow="10428" yWindow="2988" windowWidth="12366" windowHeight="8970" xr2:uid="{296AA997-B8BB-446C-9394-2AABBF918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1" l="1"/>
  <c r="D15" i="1"/>
  <c r="F15" i="1"/>
  <c r="G15" i="1"/>
  <c r="H15" i="1"/>
  <c r="B15" i="1"/>
  <c r="C14" i="1"/>
  <c r="D14" i="1"/>
  <c r="F14" i="1"/>
  <c r="G14" i="1"/>
  <c r="H14" i="1"/>
  <c r="B14" i="1"/>
  <c r="D13" i="1"/>
  <c r="H13" i="1"/>
  <c r="F13" i="1"/>
  <c r="G13" i="1"/>
  <c r="C13" i="1"/>
  <c r="B13" i="1"/>
</calcChain>
</file>

<file path=xl/sharedStrings.xml><?xml version="1.0" encoding="utf-8"?>
<sst xmlns="http://schemas.openxmlformats.org/spreadsheetml/2006/main" count="21" uniqueCount="10">
  <si>
    <t>[002]</t>
  </si>
  <si>
    <t>{100}</t>
  </si>
  <si>
    <t>average</t>
  </si>
  <si>
    <t>[022}</t>
  </si>
  <si>
    <t>{110}</t>
  </si>
  <si>
    <t>[-111]</t>
  </si>
  <si>
    <t>deg</t>
  </si>
  <si>
    <t>1/nm</t>
  </si>
  <si>
    <t>stdev</t>
  </si>
  <si>
    <t>standardfeil = stdev/sqrt(count)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</si>
</sst>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9BAF-08A8-4A0E-A226-825998F3B377}">
  <dimension ref="A2:H15"/>
  <sheetViews>
    <sheetView tabSelected="1" topLeftCell="A3" workbookViewId="0">
      <selection activeCell="D24" sqref="D24"/>
    </sheetView>
  </sheetViews>
  <sheetFormatPr defaultRowHeight="14.4" x14ac:dyDescent="0.55000000000000004"/>
  <cols>
    <col min="1" max="1" width="11.89453125" customWidth="1"/>
  </cols>
  <sheetData>
    <row r="2" spans="1:8" x14ac:dyDescent="0.55000000000000004">
      <c r="B2" t="s">
        <v>1</v>
      </c>
      <c r="C2" t="s">
        <v>1</v>
      </c>
      <c r="D2" t="s">
        <v>1</v>
      </c>
      <c r="F2" t="s">
        <v>4</v>
      </c>
      <c r="G2" t="s">
        <v>4</v>
      </c>
      <c r="H2" t="s">
        <v>4</v>
      </c>
    </row>
    <row r="3" spans="1:8" x14ac:dyDescent="0.55000000000000004">
      <c r="B3" t="s">
        <v>0</v>
      </c>
      <c r="C3" t="s">
        <v>3</v>
      </c>
      <c r="D3" t="s">
        <v>6</v>
      </c>
      <c r="F3" t="s">
        <v>5</v>
      </c>
      <c r="G3" t="s">
        <v>0</v>
      </c>
      <c r="H3" t="s">
        <v>6</v>
      </c>
    </row>
    <row r="4" spans="1:8" x14ac:dyDescent="0.55000000000000004">
      <c r="B4">
        <v>4.91</v>
      </c>
      <c r="C4">
        <v>7.02</v>
      </c>
      <c r="D4">
        <v>44.82</v>
      </c>
      <c r="F4">
        <v>4.2300000000000004</v>
      </c>
      <c r="G4">
        <v>4.8899999999999997</v>
      </c>
      <c r="H4">
        <v>54.25</v>
      </c>
    </row>
    <row r="5" spans="1:8" x14ac:dyDescent="0.55000000000000004">
      <c r="B5">
        <v>4.93</v>
      </c>
      <c r="C5">
        <v>6.89</v>
      </c>
      <c r="D5">
        <v>45.37</v>
      </c>
      <c r="F5">
        <v>4.21</v>
      </c>
      <c r="G5">
        <v>4.8899999999999997</v>
      </c>
      <c r="H5">
        <v>54.5</v>
      </c>
    </row>
    <row r="6" spans="1:8" x14ac:dyDescent="0.55000000000000004">
      <c r="B6">
        <v>4.95</v>
      </c>
      <c r="C6">
        <v>6.99</v>
      </c>
      <c r="D6">
        <v>45.09</v>
      </c>
      <c r="F6">
        <v>4.29</v>
      </c>
      <c r="G6">
        <v>4.8499999999999996</v>
      </c>
      <c r="H6">
        <v>54.31</v>
      </c>
    </row>
    <row r="7" spans="1:8" x14ac:dyDescent="0.55000000000000004">
      <c r="B7">
        <v>4.93</v>
      </c>
      <c r="C7">
        <v>6.95</v>
      </c>
      <c r="D7">
        <v>45.62</v>
      </c>
      <c r="F7">
        <v>4.21</v>
      </c>
      <c r="G7">
        <v>4.93</v>
      </c>
      <c r="H7">
        <v>55.17</v>
      </c>
    </row>
    <row r="8" spans="1:8" x14ac:dyDescent="0.55000000000000004">
      <c r="B8">
        <v>4.93</v>
      </c>
      <c r="C8">
        <v>6.92</v>
      </c>
      <c r="D8">
        <v>44.35</v>
      </c>
      <c r="F8">
        <v>4.22</v>
      </c>
      <c r="G8">
        <v>4.96</v>
      </c>
      <c r="H8">
        <v>54.4</v>
      </c>
    </row>
    <row r="9" spans="1:8" x14ac:dyDescent="0.55000000000000004">
      <c r="B9">
        <v>4.96</v>
      </c>
      <c r="C9">
        <v>7.01</v>
      </c>
      <c r="D9">
        <v>44.2</v>
      </c>
      <c r="F9">
        <v>4.25</v>
      </c>
      <c r="G9">
        <v>4.8600000000000003</v>
      </c>
      <c r="H9">
        <v>55.2</v>
      </c>
    </row>
    <row r="10" spans="1:8" x14ac:dyDescent="0.55000000000000004">
      <c r="B10">
        <v>4.91</v>
      </c>
      <c r="C10">
        <v>7.01</v>
      </c>
      <c r="D10">
        <v>45.01</v>
      </c>
      <c r="F10">
        <v>4.22</v>
      </c>
      <c r="G10">
        <v>4.95</v>
      </c>
      <c r="H10">
        <v>54.05</v>
      </c>
    </row>
    <row r="11" spans="1:8" x14ac:dyDescent="0.55000000000000004">
      <c r="B11">
        <v>4.92</v>
      </c>
      <c r="C11">
        <v>6.91</v>
      </c>
      <c r="D11">
        <v>45.54</v>
      </c>
      <c r="F11">
        <v>4.21</v>
      </c>
      <c r="G11">
        <v>4.88</v>
      </c>
      <c r="H11">
        <v>54.37</v>
      </c>
    </row>
    <row r="12" spans="1:8" x14ac:dyDescent="0.55000000000000004">
      <c r="B12" t="s">
        <v>7</v>
      </c>
      <c r="C12" t="s">
        <v>7</v>
      </c>
      <c r="D12" t="s">
        <v>6</v>
      </c>
      <c r="F12" t="s">
        <v>7</v>
      </c>
      <c r="G12" t="s">
        <v>7</v>
      </c>
      <c r="H12" t="s">
        <v>6</v>
      </c>
    </row>
    <row r="13" spans="1:8" x14ac:dyDescent="0.55000000000000004">
      <c r="A13" s="1" t="s">
        <v>2</v>
      </c>
      <c r="B13" s="1">
        <f>AVERAGE(B4:B11)</f>
        <v>4.93</v>
      </c>
      <c r="C13" s="2">
        <f>AVERAGE(C4:C11)</f>
        <v>6.9624999999999986</v>
      </c>
      <c r="D13" s="2">
        <f>AVERAGE(D4:D11)</f>
        <v>45</v>
      </c>
      <c r="F13" s="2">
        <f>AVERAGE(F4:F11)</f>
        <v>4.2299999999999995</v>
      </c>
      <c r="G13" s="2">
        <f>AVERAGE(G4:G11)</f>
        <v>4.9012500000000001</v>
      </c>
      <c r="H13" s="2">
        <f>AVERAGE(H4:H11)</f>
        <v>54.53125</v>
      </c>
    </row>
    <row r="14" spans="1:8" x14ac:dyDescent="0.55000000000000004">
      <c r="A14" t="s">
        <v>8</v>
      </c>
      <c r="B14">
        <f>_xlfn.STDEV.P(B4:B11)</f>
        <v>1.6583123951776982E-2</v>
      </c>
      <c r="C14">
        <f t="shared" ref="C14:H14" si="0">_xlfn.STDEV.P(C4:C11)</f>
        <v>4.81534007106455E-2</v>
      </c>
      <c r="D14">
        <f t="shared" si="0"/>
        <v>0.48938737212968469</v>
      </c>
      <c r="F14">
        <f t="shared" si="0"/>
        <v>2.5980762113533205E-2</v>
      </c>
      <c r="G14">
        <f t="shared" si="0"/>
        <v>3.8222212128551682E-2</v>
      </c>
      <c r="H14">
        <f t="shared" si="0"/>
        <v>0.39671896538986018</v>
      </c>
    </row>
    <row r="15" spans="1:8" x14ac:dyDescent="0.55000000000000004">
      <c r="A15" t="s">
        <v>9</v>
      </c>
      <c r="B15">
        <f>B14/COUNT(B4:B11)</f>
        <v>2.0728904939721227E-3</v>
      </c>
      <c r="C15">
        <f t="shared" ref="C15:H15" si="1">C14/COUNT(C4:C11)</f>
        <v>6.0191750888306875E-3</v>
      </c>
      <c r="D15">
        <f t="shared" si="1"/>
        <v>6.1173421516210587E-2</v>
      </c>
      <c r="F15">
        <f t="shared" si="1"/>
        <v>3.2475952641916506E-3</v>
      </c>
      <c r="G15">
        <f t="shared" si="1"/>
        <v>4.7777765160689602E-3</v>
      </c>
      <c r="H15">
        <f t="shared" si="1"/>
        <v>4.9589870673732522E-2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Brynjar</dc:creator>
  <cp:lastModifiedBy>Brynjar</cp:lastModifiedBy>
  <dcterms:created xsi:type="dcterms:W3CDTF">2021-03-25T23:18:49Z</dcterms:created>
  <dcterms:modified xsi:type="dcterms:W3CDTF">2021-03-25T23:56:28Z</dcterms:modified>
</cp:coreProperties>
</file>